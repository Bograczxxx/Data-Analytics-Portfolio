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D3942E4B-D469-4560-ADF8-62F036B190D3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Arkusz1" sheetId="1" r:id="rId1"/>
    <sheet name="Arkusz2" sheetId="2" r:id="rId2"/>
  </sheets>
  <calcPr calcId="191028"/>
  <pivotCaches>
    <pivotCache cacheId="8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E2" i="1"/>
  <c r="E3" i="1"/>
  <c r="E4" i="1"/>
  <c r="E5" i="1"/>
  <c r="E6" i="1"/>
  <c r="E7" i="1"/>
  <c r="A13" i="1"/>
  <c r="A12" i="1"/>
  <c r="A11" i="1"/>
  <c r="A10" i="1"/>
  <c r="A9" i="1"/>
</calcChain>
</file>

<file path=xl/sharedStrings.xml><?xml version="1.0" encoding="utf-8"?>
<sst xmlns="http://schemas.openxmlformats.org/spreadsheetml/2006/main" count="45" uniqueCount="24">
  <si>
    <t>Produkt</t>
  </si>
  <si>
    <t>Region</t>
  </si>
  <si>
    <t>Sprzedaż</t>
  </si>
  <si>
    <t>Miesiąc</t>
  </si>
  <si>
    <t>Kategorie</t>
  </si>
  <si>
    <t>Cena jednostkowa</t>
  </si>
  <si>
    <t>Cena jedn.</t>
  </si>
  <si>
    <t>Laptop</t>
  </si>
  <si>
    <t>Północ</t>
  </si>
  <si>
    <t>Styczeń</t>
  </si>
  <si>
    <t>Mysz</t>
  </si>
  <si>
    <t>Południe</t>
  </si>
  <si>
    <t>Monitor</t>
  </si>
  <si>
    <t>Wschód</t>
  </si>
  <si>
    <t>Luty</t>
  </si>
  <si>
    <t>Marzec</t>
  </si>
  <si>
    <t>Zachód</t>
  </si>
  <si>
    <t>Suma całej sprzedaży</t>
  </si>
  <si>
    <t>średnia</t>
  </si>
  <si>
    <t>max sprzedaz</t>
  </si>
  <si>
    <t>Min sprzedaz</t>
  </si>
  <si>
    <t xml:space="preserve">Ile wieszy </t>
  </si>
  <si>
    <t>Suma z Sprzedaż</t>
  </si>
  <si>
    <t>Suma końcowa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</si>
</sst>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</cellXfs>
  <cellStyles count="1">
    <cellStyle name="Normalny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1.xlsx]Arkusz2!Tabela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Sprzedaż według produktu i miesiąca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Arkusz2!$B$2:$B$3</c:f>
              <c:strCache>
                <c:ptCount val="1"/>
                <c:pt idx="0">
                  <c:v>Styczeń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Arkusz2!$A$4:$A$7</c:f>
              <c:strCache>
                <c:ptCount val="3"/>
                <c:pt idx="0">
                  <c:v>Laptop</c:v>
                </c:pt>
                <c:pt idx="1">
                  <c:v>Monitor</c:v>
                </c:pt>
                <c:pt idx="2">
                  <c:v>Mysz</c:v>
                </c:pt>
              </c:strCache>
            </c:strRef>
          </c:cat>
          <c:val>
            <c:numRef>
              <c:f>Arkusz2!$B$4:$B$7</c:f>
              <c:numCache>
                <c:formatCode>General</c:formatCode>
                <c:ptCount val="3"/>
                <c:pt idx="0">
                  <c:v>4500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3-4F66-A896-2316EDB058B0}"/>
            </c:ext>
          </c:extLst>
        </c:ser>
        <c:ser>
          <c:idx val="1"/>
          <c:order val="1"/>
          <c:tx>
            <c:strRef>
              <c:f>Arkusz2!$C$2:$C$3</c:f>
              <c:strCache>
                <c:ptCount val="1"/>
                <c:pt idx="0">
                  <c:v>Luty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Arkusz2!$A$4:$A$7</c:f>
              <c:strCache>
                <c:ptCount val="3"/>
                <c:pt idx="0">
                  <c:v>Laptop</c:v>
                </c:pt>
                <c:pt idx="1">
                  <c:v>Monitor</c:v>
                </c:pt>
                <c:pt idx="2">
                  <c:v>Mysz</c:v>
                </c:pt>
              </c:strCache>
            </c:strRef>
          </c:cat>
          <c:val>
            <c:numRef>
              <c:f>Arkusz2!$C$4:$C$7</c:f>
              <c:numCache>
                <c:formatCode>General</c:formatCode>
                <c:ptCount val="3"/>
                <c:pt idx="0">
                  <c:v>3800</c:v>
                </c:pt>
                <c:pt idx="1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C3-4F66-A896-2316EDB058B0}"/>
            </c:ext>
          </c:extLst>
        </c:ser>
        <c:ser>
          <c:idx val="2"/>
          <c:order val="2"/>
          <c:tx>
            <c:strRef>
              <c:f>Arkusz2!$D$2:$D$3</c:f>
              <c:strCache>
                <c:ptCount val="1"/>
                <c:pt idx="0">
                  <c:v>Marzec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Arkusz2!$A$4:$A$7</c:f>
              <c:strCache>
                <c:ptCount val="3"/>
                <c:pt idx="0">
                  <c:v>Laptop</c:v>
                </c:pt>
                <c:pt idx="1">
                  <c:v>Monitor</c:v>
                </c:pt>
                <c:pt idx="2">
                  <c:v>Mysz</c:v>
                </c:pt>
              </c:strCache>
            </c:strRef>
          </c:cat>
          <c:val>
            <c:numRef>
              <c:f>Arkusz2!$D$4:$D$7</c:f>
              <c:numCache>
                <c:formatCode>General</c:formatCode>
                <c:ptCount val="3"/>
                <c:pt idx="1">
                  <c:v>980</c:v>
                </c:pt>
                <c:pt idx="2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C3-4F66-A896-2316EDB05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4053768"/>
        <c:axId val="1544115208"/>
      </c:barChart>
      <c:catAx>
        <c:axId val="1544053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15208"/>
        <c:crosses val="autoZero"/>
        <c:auto val="1"/>
        <c:lblAlgn val="ctr"/>
        <c:lblOffset val="100"/>
        <c:noMultiLvlLbl val="0"/>
      </c:catAx>
      <c:valAx>
        <c:axId val="154411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5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933450</xdr:colOff>
      <xdr:row>9</xdr:row>
      <xdr:rowOff>114300</xdr:rowOff>
    </xdr:from>
    <xdr:to>
      <xdr:col>12</xdr:col>
      <xdr:colOff>495300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2B520F6-3258-6814-8C8B-EE6F0E91D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5.690583796299" createdVersion="8" refreshedVersion="8" minRefreshableVersion="3" recordCount="6" xr:uid="{F2CF9102-E4E4-4C34-B205-7B5832CFCB13}">
  <cacheSource type="worksheet">
    <worksheetSource name="Tabela1"/>
  </cacheSource>
  <cacheFields count="5">
    <cacheField name="Produkt" numFmtId="0">
      <sharedItems count="3">
        <s v="Laptop"/>
        <s v="Mysz"/>
        <s v="Monitor"/>
      </sharedItems>
    </cacheField>
    <cacheField name="Region" numFmtId="0">
      <sharedItems count="4">
        <s v="Północ"/>
        <s v="Południe"/>
        <s v="Wschód"/>
        <s v="Zachód"/>
      </sharedItems>
    </cacheField>
    <cacheField name="Sprzedaż" numFmtId="0">
      <sharedItems containsSemiMixedTypes="0" containsString="0" containsNumber="1" containsInteger="1" minValue="290" maxValue="4500"/>
    </cacheField>
    <cacheField name="Miesiąc" numFmtId="0">
      <sharedItems count="3">
        <s v="Styczeń"/>
        <s v="Luty"/>
        <s v="Marzec"/>
      </sharedItems>
    </cacheField>
    <cacheField name="Kategorie" numFmtId="0">
      <sharedItems count="2">
        <s v="Duża sprzedaż"/>
        <s v="Mała sprzedaż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4500"/>
    <x v="0"/>
    <x v="0"/>
  </r>
  <r>
    <x v="1"/>
    <x v="1"/>
    <n v="320"/>
    <x v="0"/>
    <x v="1"/>
  </r>
  <r>
    <x v="2"/>
    <x v="2"/>
    <n v="1200"/>
    <x v="1"/>
    <x v="0"/>
  </r>
  <r>
    <x v="0"/>
    <x v="1"/>
    <n v="3800"/>
    <x v="1"/>
    <x v="0"/>
  </r>
  <r>
    <x v="1"/>
    <x v="0"/>
    <n v="290"/>
    <x v="2"/>
    <x v="1"/>
  </r>
  <r>
    <x v="2"/>
    <x v="3"/>
    <n v="98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C2869-8D6D-4EAD-B3AC-14370FE609B2}" name="Tabela przestawna1" cacheId="8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 chartFormat="1">
  <location ref="A2:E7" firstHeaderRow="1" firstDataRow="2" firstDataCol="1"/>
  <pivotFields count="5">
    <pivotField axis="axisRow" compact="0" outline="0" showAll="0">
      <items count="4">
        <item x="0"/>
        <item x="2"/>
        <item x="1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z Sprzedaż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60843-A62A-4902-9E92-2D865D060F76}" name="Tabela1" displayName="Tabela1" ref="A1:E7" totalsRowShown="0">
  <autoFilter ref="A1:E7" xr:uid="{56D60843-A62A-4902-9E92-2D865D060F76}"/>
  <tableColumns count="5">
    <tableColumn id="1" xr3:uid="{7DFB2D73-2E5E-4538-9EE1-F5C0AD12441B}" name="Produkt"/>
    <tableColumn id="2" xr3:uid="{6B104F82-EDB9-4A1D-A16D-BA864A4AB93D}" name="Region"/>
    <tableColumn id="3" xr3:uid="{31665022-E7DE-4864-A793-6482CD90A6B8}" name="Sprzedaż"/>
    <tableColumn id="4" xr3:uid="{37E0C1E3-EB50-477C-A0C1-0A7D4D18852D}" name="Miesiąc"/>
    <tableColumn id="5" xr3:uid="{342EF9DF-F620-4889-919E-CE8738674EAC}" name="Kategorie" dataDxfId="1">
      <calculatedColumnFormula>IF(C2&gt;=1000,"Duża sprzedaż","Mała sprzedaż")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9DA519-A870-452F-93F3-BFA438EAB42E}" name="Tabela2" displayName="Tabela2" ref="H1:J4" totalsRowShown="0">
  <autoFilter ref="H1:J4" xr:uid="{949DA519-A870-452F-93F3-BFA438EAB42E}"/>
  <tableColumns count="3">
    <tableColumn id="1" xr3:uid="{0C9C1BB2-60F8-4AF2-8713-D44B62B2335D}" name="Produkt"/>
    <tableColumn id="2" xr3:uid="{E6872EFC-DC6F-45DD-A469-C4864C4DA197}" name="Cena jednostkowa"/>
    <tableColumn id="3" xr3:uid="{B15B785C-6D19-4B16-AAD0-B6052D6A9337}" name="Cena jedn." dataDxfId="0">
      <calculatedColumnFormula>VLOOKUP(A2,$H$2:$I$4,2,0)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C4" sqref="C4"/>
    </sheetView>
  </sheetViews>
  <sheetFormatPr defaultRowHeight="15"/>
  <cols>
    <col min="1" max="1" width="12.42578125" bestFit="1" customWidth="1"/>
    <col min="2" max="2" width="9.42578125" customWidth="1"/>
    <col min="3" max="3" width="11.28515625" bestFit="1" customWidth="1"/>
    <col min="4" max="4" width="10.28515625" bestFit="1" customWidth="1"/>
    <col min="5" max="5" width="13.7109375" bestFit="1" customWidth="1"/>
    <col min="8" max="8" width="10.5703125" bestFit="1" customWidth="1"/>
    <col min="9" max="9" width="20.140625" bestFit="1" customWidth="1"/>
    <col min="10" max="10" width="12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0</v>
      </c>
      <c r="I1" t="s">
        <v>5</v>
      </c>
      <c r="J1" t="s">
        <v>6</v>
      </c>
    </row>
    <row r="2" spans="1:10">
      <c r="A2" t="s">
        <v>7</v>
      </c>
      <c r="B2" t="s">
        <v>8</v>
      </c>
      <c r="C2">
        <v>4500</v>
      </c>
      <c r="D2" t="s">
        <v>9</v>
      </c>
      <c r="E2" t="str">
        <f t="shared" ref="E2:E7" si="0">IF(C2&gt;=1000,"Duża sprzedaż","Mała sprzedaż")</f>
        <v>Duża sprzedaż</v>
      </c>
      <c r="H2" t="s">
        <v>7</v>
      </c>
      <c r="I2">
        <v>2500</v>
      </c>
      <c r="J2">
        <f t="shared" ref="J2:J4" si="1">VLOOKUP(A2,$H$2:$I$4,2,0)</f>
        <v>2500</v>
      </c>
    </row>
    <row r="3" spans="1:10">
      <c r="A3" t="s">
        <v>10</v>
      </c>
      <c r="B3" t="s">
        <v>11</v>
      </c>
      <c r="C3">
        <v>320</v>
      </c>
      <c r="D3" t="s">
        <v>9</v>
      </c>
      <c r="E3" t="str">
        <f t="shared" si="0"/>
        <v>Mała sprzedaż</v>
      </c>
      <c r="H3" t="s">
        <v>10</v>
      </c>
      <c r="I3">
        <v>150</v>
      </c>
      <c r="J3">
        <f t="shared" si="1"/>
        <v>150</v>
      </c>
    </row>
    <row r="4" spans="1:10">
      <c r="A4" t="s">
        <v>12</v>
      </c>
      <c r="B4" t="s">
        <v>13</v>
      </c>
      <c r="C4">
        <v>1200</v>
      </c>
      <c r="D4" t="s">
        <v>14</v>
      </c>
      <c r="E4" t="str">
        <f t="shared" si="0"/>
        <v>Duża sprzedaż</v>
      </c>
      <c r="H4" t="s">
        <v>12</v>
      </c>
      <c r="I4">
        <v>800</v>
      </c>
      <c r="J4">
        <f t="shared" si="1"/>
        <v>800</v>
      </c>
    </row>
    <row r="5" spans="1:10">
      <c r="A5" t="s">
        <v>7</v>
      </c>
      <c r="B5" t="s">
        <v>11</v>
      </c>
      <c r="C5">
        <v>3800</v>
      </c>
      <c r="D5" t="s">
        <v>14</v>
      </c>
      <c r="E5" t="str">
        <f t="shared" si="0"/>
        <v>Duża sprzedaż</v>
      </c>
    </row>
    <row r="6" spans="1:10">
      <c r="A6" t="s">
        <v>10</v>
      </c>
      <c r="B6" t="s">
        <v>8</v>
      </c>
      <c r="C6">
        <v>290</v>
      </c>
      <c r="D6" t="s">
        <v>15</v>
      </c>
      <c r="E6" t="str">
        <f t="shared" si="0"/>
        <v>Mała sprzedaż</v>
      </c>
    </row>
    <row r="7" spans="1:10">
      <c r="A7" t="s">
        <v>12</v>
      </c>
      <c r="B7" t="s">
        <v>16</v>
      </c>
      <c r="C7">
        <v>980</v>
      </c>
      <c r="D7" t="s">
        <v>15</v>
      </c>
      <c r="E7" t="str">
        <f t="shared" si="0"/>
        <v>Mała sprzedaż</v>
      </c>
    </row>
    <row r="9" spans="1:10">
      <c r="A9">
        <f>SUM(Tabela1[Sprzedaż])</f>
        <v>11090</v>
      </c>
      <c r="B9" t="s">
        <v>17</v>
      </c>
    </row>
    <row r="10" spans="1:10">
      <c r="A10">
        <f>AVERAGE(Tabela1[Sprzedaż])</f>
        <v>1848.3333333333333</v>
      </c>
      <c r="B10" t="s">
        <v>18</v>
      </c>
    </row>
    <row r="11" spans="1:10">
      <c r="A11">
        <f>MAX(Tabela1[Sprzedaż])</f>
        <v>4500</v>
      </c>
      <c r="B11" t="s">
        <v>19</v>
      </c>
    </row>
    <row r="12" spans="1:10">
      <c r="A12">
        <f>MIN(Tabela1[Sprzedaż])</f>
        <v>290</v>
      </c>
      <c r="B12" t="s">
        <v>20</v>
      </c>
    </row>
    <row r="13" spans="1:10">
      <c r="A13" s="1">
        <f>ROWS(Tabela1[Sprzedaż])</f>
        <v>6</v>
      </c>
      <c r="B13" t="s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247B-09C1-4B6A-A0F9-10E9FA2EC962}">
  <dimension ref="A2:E7"/>
  <sheetViews>
    <sheetView tabSelected="1" topLeftCell="A2" workbookViewId="0">
      <selection activeCell="B5" sqref="B5"/>
    </sheetView>
  </sheetViews>
  <sheetFormatPr defaultRowHeight="15"/>
  <cols>
    <col min="1" max="1" width="16" bestFit="1" customWidth="1"/>
    <col min="2" max="2" width="11.140625" bestFit="1" customWidth="1"/>
    <col min="3" max="3" width="5.42578125" bestFit="1" customWidth="1"/>
    <col min="4" max="4" width="7.7109375" bestFit="1" customWidth="1"/>
    <col min="5" max="7" width="14.7109375" bestFit="1" customWidth="1"/>
  </cols>
  <sheetData>
    <row r="2" spans="1:5">
      <c r="A2" s="3" t="s">
        <v>22</v>
      </c>
      <c r="B2" s="3" t="s">
        <v>3</v>
      </c>
    </row>
    <row r="3" spans="1:5">
      <c r="A3" s="3" t="s">
        <v>0</v>
      </c>
      <c r="B3" t="s">
        <v>9</v>
      </c>
      <c r="C3" t="s">
        <v>14</v>
      </c>
      <c r="D3" t="s">
        <v>15</v>
      </c>
      <c r="E3" t="s">
        <v>23</v>
      </c>
    </row>
    <row r="4" spans="1:5">
      <c r="A4" t="s">
        <v>7</v>
      </c>
      <c r="B4" s="2">
        <v>4500</v>
      </c>
      <c r="C4" s="2">
        <v>3800</v>
      </c>
      <c r="D4" s="2"/>
      <c r="E4" s="2">
        <v>8300</v>
      </c>
    </row>
    <row r="5" spans="1:5">
      <c r="A5" t="s">
        <v>12</v>
      </c>
      <c r="B5" s="2"/>
      <c r="C5" s="2">
        <v>1200</v>
      </c>
      <c r="D5" s="2">
        <v>980</v>
      </c>
      <c r="E5" s="2">
        <v>2180</v>
      </c>
    </row>
    <row r="6" spans="1:5">
      <c r="A6" t="s">
        <v>10</v>
      </c>
      <c r="B6" s="2">
        <v>320</v>
      </c>
      <c r="C6" s="2"/>
      <c r="D6" s="2">
        <v>290</v>
      </c>
      <c r="E6" s="2">
        <v>610</v>
      </c>
    </row>
    <row r="7" spans="1:5">
      <c r="A7" t="s">
        <v>23</v>
      </c>
      <c r="B7" s="2">
        <v>4820</v>
      </c>
      <c r="C7" s="2">
        <v>5000</v>
      </c>
      <c r="D7" s="2">
        <v>1270</v>
      </c>
      <c r="E7" s="2">
        <v>11090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2026-05-03T14:15:13Z</dcterms:created>
  <dcterms:modified xsi:type="dcterms:W3CDTF">2026-05-03T14:40:11Z</dcterms:modified>
  <cp:category/>
  <cp:contentStatus/>
</cp:coreProperties>
</file>